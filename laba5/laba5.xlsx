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xpeke\Downloads\Telegram Desktop\"/>
    </mc:Choice>
  </mc:AlternateContent>
  <bookViews>
    <workbookView xWindow="0" yWindow="0" windowWidth="23040" windowHeight="9972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1" l="1"/>
  <c r="L13" i="1"/>
  <c r="L12" i="1"/>
  <c r="L11" i="1"/>
  <c r="L10" i="1"/>
  <c r="L9" i="1"/>
  <c r="L8" i="1"/>
  <c r="L7" i="1"/>
  <c r="L6" i="1"/>
  <c r="L5" i="1"/>
  <c r="L4" i="1"/>
  <c r="L3" i="1"/>
  <c r="H21" i="1"/>
  <c r="G21" i="1"/>
  <c r="F21" i="1"/>
  <c r="E21" i="1"/>
  <c r="D21" i="1"/>
  <c r="C21" i="1"/>
  <c r="K3" i="1"/>
  <c r="H17" i="1"/>
  <c r="F17" i="1"/>
  <c r="D17" i="1"/>
  <c r="C17" i="1"/>
  <c r="K14" i="1"/>
  <c r="K12" i="1"/>
  <c r="K11" i="1"/>
  <c r="K10" i="1"/>
  <c r="K8" i="1"/>
  <c r="K7" i="1"/>
  <c r="K6" i="1"/>
  <c r="K5" i="1"/>
  <c r="K4" i="1"/>
  <c r="K13" i="1"/>
  <c r="J13" i="1"/>
  <c r="J12" i="1"/>
  <c r="J3" i="1"/>
  <c r="H16" i="1"/>
  <c r="G16" i="1"/>
  <c r="G17" i="1" s="1"/>
  <c r="F16" i="1"/>
  <c r="E16" i="1"/>
  <c r="E17" i="1" s="1"/>
  <c r="D16" i="1"/>
  <c r="C16" i="1"/>
  <c r="J14" i="1"/>
  <c r="J11" i="1"/>
  <c r="J10" i="1"/>
  <c r="J9" i="1"/>
  <c r="K9" i="1" s="1"/>
  <c r="J8" i="1"/>
  <c r="J7" i="1"/>
  <c r="J6" i="1"/>
  <c r="J5" i="1"/>
  <c r="J4" i="1"/>
  <c r="K17" i="1" l="1"/>
  <c r="K18" i="1"/>
  <c r="K20" i="1"/>
  <c r="K19" i="1"/>
</calcChain>
</file>

<file path=xl/sharedStrings.xml><?xml version="1.0" encoding="utf-8"?>
<sst xmlns="http://schemas.openxmlformats.org/spreadsheetml/2006/main" count="31" uniqueCount="31">
  <si>
    <t>Предмети</t>
  </si>
  <si>
    <t>№</t>
  </si>
  <si>
    <t>Прізвище, Ім'я</t>
  </si>
  <si>
    <t>алгебра</t>
  </si>
  <si>
    <t>Геометрія</t>
  </si>
  <si>
    <t>Українська мова</t>
  </si>
  <si>
    <t>Біологія</t>
  </si>
  <si>
    <t>Фізика</t>
  </si>
  <si>
    <t>Історія</t>
  </si>
  <si>
    <t>Середній бал</t>
  </si>
  <si>
    <t>Рівень знань</t>
  </si>
  <si>
    <t>Ранг учня</t>
  </si>
  <si>
    <t>Вітюк Юрій</t>
  </si>
  <si>
    <t>Гончарук Денис</t>
  </si>
  <si>
    <t>Гуменюк Оксана</t>
  </si>
  <si>
    <t>Довгань Мирослава</t>
  </si>
  <si>
    <t>Данік Юлія</t>
  </si>
  <si>
    <t>Кліщ Юрій</t>
  </si>
  <si>
    <t>Ковальчук Юлія</t>
  </si>
  <si>
    <t>Ковяр Ольга</t>
  </si>
  <si>
    <t>Кузьменко Олександр</t>
  </si>
  <si>
    <t>Малюк Вікторія</t>
  </si>
  <si>
    <t>Мурмилюк Олена</t>
  </si>
  <si>
    <t>Сидоренко Вероніка</t>
  </si>
  <si>
    <t>Середній бал з предмету</t>
  </si>
  <si>
    <t>Рівень знань з предмету</t>
  </si>
  <si>
    <t>Середній</t>
  </si>
  <si>
    <t>Достатній</t>
  </si>
  <si>
    <t>Високий</t>
  </si>
  <si>
    <t xml:space="preserve">Низький </t>
  </si>
  <si>
    <t>Бал, який найчастіше зустрічається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</si>
</sst>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3F3F3F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0" borderId="2"/>
  </cellStyleXfs>
  <cellXfs count="20">
    <xf numFmtId="0" fontId="0" fillId="0" borderId="0" xfId="0"/>
    <xf numFmtId="0" fontId="3" fillId="2" borderId="1" xfId="1" applyFont="1" applyAlignment="1">
      <alignment horizontal="center" vertical="center"/>
    </xf>
    <xf numFmtId="0" fontId="4" fillId="0" borderId="0" xfId="0" applyFont="1"/>
    <xf numFmtId="0" fontId="3" fillId="2" borderId="1" xfId="1" applyFont="1" applyAlignment="1">
      <alignment horizontal="center" vertical="center" textRotation="90"/>
    </xf>
    <xf numFmtId="0" fontId="3" fillId="2" borderId="1" xfId="1" applyFont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2" applyFont="1"/>
    <xf numFmtId="0" fontId="3" fillId="2" borderId="1" xfId="1" applyFont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/>
    <xf numFmtId="0" fontId="4" fillId="0" borderId="0" xfId="2" applyFont="1" applyBorder="1"/>
    <xf numFmtId="0" fontId="4" fillId="0" borderId="0" xfId="0" applyFont="1" applyBorder="1"/>
    <xf numFmtId="0" fontId="3" fillId="2" borderId="5" xfId="1" applyFont="1" applyBorder="1" applyAlignment="1">
      <alignment horizontal="center"/>
    </xf>
    <xf numFmtId="0" fontId="3" fillId="2" borderId="5" xfId="1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3">
    <cellStyle name="Вывод" xfId="1" builtinId="21"/>
    <cellStyle name="Обычный" xfId="0" builtinId="0"/>
    <cellStyle name="Стиль 1" xfId="2"/>
  </cellStyles>
  <dxfs count="2">
    <dxf>
      <border>
        <left style="thin">
          <color auto="1"/>
        </left>
      </border>
    </dxf>
    <dxf>
      <border diagonalUp="1">
        <left style="thin">
          <color auto="1"/>
        </left>
        <diagonal style="thin">
          <color auto="1"/>
        </diagonal>
      </border>
    </dxf>
  </dxfs>
  <tableStyles count="2" defaultTableStyle="TableStyleMedium2" defaultPivotStyle="PivotStyleLight16">
    <tableStyle name="1" pivot="0" count="1">
      <tableStyleElement type="firstColumnStripe" dxfId="1"/>
    </tableStyle>
    <tableStyle name="Стиль таблицы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topLeftCell="C1" workbookViewId="0">
      <selection activeCell="A18" sqref="A18:H20"/>
    </sheetView>
  </sheetViews>
  <sheetFormatPr defaultRowHeight="13.8" x14ac:dyDescent="0.25"/>
  <cols>
    <col min="1" max="1" width="4.5546875" style="2" customWidth="1"/>
    <col min="2" max="2" width="26" style="2" customWidth="1"/>
    <col min="3" max="3" width="11.33203125" style="2" customWidth="1"/>
    <col min="4" max="4" width="10" style="2" customWidth="1"/>
    <col min="5" max="5" width="9.77734375" style="2" customWidth="1"/>
    <col min="6" max="6" width="9.88671875" style="2" customWidth="1"/>
    <col min="7" max="7" width="11" style="2" customWidth="1"/>
    <col min="8" max="8" width="10.5546875" style="2" customWidth="1"/>
    <col min="9" max="9" width="3.33203125" style="2" customWidth="1"/>
    <col min="10" max="10" width="8.88671875" style="2" customWidth="1"/>
    <col min="11" max="11" width="9.6640625" style="2" customWidth="1"/>
    <col min="12" max="12" width="8.88671875" style="2" customWidth="1"/>
    <col min="13" max="16384" width="8.88671875" style="2"/>
  </cols>
  <sheetData>
    <row r="1" spans="1:12" ht="31.2" customHeight="1" x14ac:dyDescent="0.25">
      <c r="A1" s="1" t="s">
        <v>1</v>
      </c>
      <c r="B1" s="1" t="s">
        <v>2</v>
      </c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spans="1:12" ht="83.4" customHeight="1" x14ac:dyDescent="0.25">
      <c r="A2" s="1"/>
      <c r="B2" s="1"/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/>
      <c r="J2" s="3" t="s">
        <v>9</v>
      </c>
      <c r="K2" s="3" t="s">
        <v>10</v>
      </c>
      <c r="L2" s="3" t="s">
        <v>11</v>
      </c>
    </row>
    <row r="3" spans="1:12" x14ac:dyDescent="0.25">
      <c r="A3" s="4">
        <v>1</v>
      </c>
      <c r="B3" s="4" t="s">
        <v>12</v>
      </c>
      <c r="C3" s="4">
        <v>12</v>
      </c>
      <c r="D3" s="4">
        <v>10</v>
      </c>
      <c r="E3" s="4">
        <v>10</v>
      </c>
      <c r="F3" s="4">
        <v>12</v>
      </c>
      <c r="G3" s="4">
        <v>11</v>
      </c>
      <c r="H3" s="4">
        <v>12</v>
      </c>
      <c r="I3" s="4"/>
      <c r="J3" s="4">
        <f>AVERAGE(C3:I3)</f>
        <v>11.166666666666666</v>
      </c>
      <c r="K3" s="4" t="str">
        <f t="shared" ref="K3:K14" si="0">IF(J3&gt;9,"Високий",IF(J3&gt;6,"Достатній",IF(J3&gt;3,"Середній",IF(J3&lt;4,"Низький"))))</f>
        <v>Високий</v>
      </c>
      <c r="L3" s="4">
        <f t="shared" ref="L3:L14" si="1">RANK(J3,$J$3:$J$14)</f>
        <v>2</v>
      </c>
    </row>
    <row r="4" spans="1:12" x14ac:dyDescent="0.25">
      <c r="A4" s="4">
        <v>2</v>
      </c>
      <c r="B4" s="4" t="s">
        <v>13</v>
      </c>
      <c r="C4" s="4">
        <v>9</v>
      </c>
      <c r="D4" s="4">
        <v>8</v>
      </c>
      <c r="E4" s="4">
        <v>7</v>
      </c>
      <c r="F4" s="4">
        <v>6</v>
      </c>
      <c r="G4" s="4">
        <v>6</v>
      </c>
      <c r="H4" s="4">
        <v>8</v>
      </c>
      <c r="I4" s="4"/>
      <c r="J4" s="4">
        <f t="shared" ref="J4:J14" si="2">AVERAGE(C4:H4)</f>
        <v>7.333333333333333</v>
      </c>
      <c r="K4" s="4" t="str">
        <f t="shared" si="0"/>
        <v>Достатній</v>
      </c>
      <c r="L4" s="4">
        <f t="shared" si="1"/>
        <v>8</v>
      </c>
    </row>
    <row r="5" spans="1:12" x14ac:dyDescent="0.25">
      <c r="A5" s="4">
        <v>3</v>
      </c>
      <c r="B5" s="4" t="s">
        <v>14</v>
      </c>
      <c r="C5" s="4">
        <v>2</v>
      </c>
      <c r="D5" s="4">
        <v>2</v>
      </c>
      <c r="E5" s="4">
        <v>5</v>
      </c>
      <c r="F5" s="4">
        <v>3</v>
      </c>
      <c r="G5" s="4">
        <v>1</v>
      </c>
      <c r="H5" s="4">
        <v>4</v>
      </c>
      <c r="I5" s="4"/>
      <c r="J5" s="4">
        <f t="shared" si="2"/>
        <v>2.8333333333333335</v>
      </c>
      <c r="K5" s="4" t="str">
        <f t="shared" si="0"/>
        <v>Низький</v>
      </c>
      <c r="L5" s="4">
        <f t="shared" si="1"/>
        <v>12</v>
      </c>
    </row>
    <row r="6" spans="1:12" x14ac:dyDescent="0.25">
      <c r="A6" s="4">
        <v>4</v>
      </c>
      <c r="B6" s="4" t="s">
        <v>15</v>
      </c>
      <c r="C6" s="4">
        <v>7</v>
      </c>
      <c r="D6" s="4">
        <v>6</v>
      </c>
      <c r="E6" s="4">
        <v>7</v>
      </c>
      <c r="F6" s="4">
        <v>8</v>
      </c>
      <c r="G6" s="4">
        <v>6</v>
      </c>
      <c r="H6" s="4">
        <v>6</v>
      </c>
      <c r="I6" s="4"/>
      <c r="J6" s="4">
        <f t="shared" si="2"/>
        <v>6.666666666666667</v>
      </c>
      <c r="K6" s="4" t="str">
        <f t="shared" si="0"/>
        <v>Достатній</v>
      </c>
      <c r="L6" s="4">
        <f t="shared" si="1"/>
        <v>9</v>
      </c>
    </row>
    <row r="7" spans="1:12" x14ac:dyDescent="0.25">
      <c r="A7" s="4">
        <v>5</v>
      </c>
      <c r="B7" s="4" t="s">
        <v>16</v>
      </c>
      <c r="C7" s="4">
        <v>4</v>
      </c>
      <c r="D7" s="4">
        <v>5</v>
      </c>
      <c r="E7" s="4">
        <v>7</v>
      </c>
      <c r="F7" s="4">
        <v>6</v>
      </c>
      <c r="G7" s="4">
        <v>7</v>
      </c>
      <c r="H7" s="4">
        <v>5</v>
      </c>
      <c r="I7" s="4"/>
      <c r="J7" s="4">
        <f t="shared" si="2"/>
        <v>5.666666666666667</v>
      </c>
      <c r="K7" s="4" t="str">
        <f t="shared" si="0"/>
        <v>Середній</v>
      </c>
      <c r="L7" s="4">
        <f t="shared" si="1"/>
        <v>10</v>
      </c>
    </row>
    <row r="8" spans="1:12" x14ac:dyDescent="0.25">
      <c r="A8" s="4">
        <v>6</v>
      </c>
      <c r="B8" s="4" t="s">
        <v>17</v>
      </c>
      <c r="C8" s="4">
        <v>8</v>
      </c>
      <c r="D8" s="4">
        <v>9</v>
      </c>
      <c r="E8" s="4">
        <v>8</v>
      </c>
      <c r="F8" s="4">
        <v>8</v>
      </c>
      <c r="G8" s="4">
        <v>8</v>
      </c>
      <c r="H8" s="4">
        <v>8</v>
      </c>
      <c r="I8" s="4"/>
      <c r="J8" s="4">
        <f t="shared" si="2"/>
        <v>8.1666666666666661</v>
      </c>
      <c r="K8" s="4" t="str">
        <f t="shared" si="0"/>
        <v>Достатній</v>
      </c>
      <c r="L8" s="4">
        <f t="shared" si="1"/>
        <v>7</v>
      </c>
    </row>
    <row r="9" spans="1:12" x14ac:dyDescent="0.25">
      <c r="A9" s="4">
        <v>7</v>
      </c>
      <c r="B9" s="4" t="s">
        <v>18</v>
      </c>
      <c r="C9" s="4">
        <v>11</v>
      </c>
      <c r="D9" s="4">
        <v>11</v>
      </c>
      <c r="E9" s="4">
        <v>12</v>
      </c>
      <c r="F9" s="4">
        <v>12</v>
      </c>
      <c r="G9" s="4">
        <v>11</v>
      </c>
      <c r="H9" s="4">
        <v>12</v>
      </c>
      <c r="I9" s="4"/>
      <c r="J9" s="4">
        <f t="shared" si="2"/>
        <v>11.5</v>
      </c>
      <c r="K9" s="4" t="str">
        <f t="shared" si="0"/>
        <v>Високий</v>
      </c>
      <c r="L9" s="4">
        <f t="shared" si="1"/>
        <v>1</v>
      </c>
    </row>
    <row r="10" spans="1:12" x14ac:dyDescent="0.25">
      <c r="A10" s="4">
        <v>8</v>
      </c>
      <c r="B10" s="4" t="s">
        <v>19</v>
      </c>
      <c r="C10" s="4">
        <v>11</v>
      </c>
      <c r="D10" s="4">
        <v>11</v>
      </c>
      <c r="E10" s="4">
        <v>10</v>
      </c>
      <c r="F10" s="4">
        <v>10</v>
      </c>
      <c r="G10" s="4">
        <v>11</v>
      </c>
      <c r="H10" s="4">
        <v>11</v>
      </c>
      <c r="I10" s="4"/>
      <c r="J10" s="4">
        <f t="shared" si="2"/>
        <v>10.666666666666666</v>
      </c>
      <c r="K10" s="4" t="str">
        <f t="shared" si="0"/>
        <v>Високий</v>
      </c>
      <c r="L10" s="4">
        <f t="shared" si="1"/>
        <v>4</v>
      </c>
    </row>
    <row r="11" spans="1:12" x14ac:dyDescent="0.25">
      <c r="A11" s="4">
        <v>9</v>
      </c>
      <c r="B11" s="4" t="s">
        <v>20</v>
      </c>
      <c r="C11" s="4">
        <v>9</v>
      </c>
      <c r="D11" s="4">
        <v>9</v>
      </c>
      <c r="E11" s="4">
        <v>10</v>
      </c>
      <c r="F11" s="4">
        <v>10</v>
      </c>
      <c r="G11" s="4">
        <v>9</v>
      </c>
      <c r="H11" s="4">
        <v>11</v>
      </c>
      <c r="I11" s="4"/>
      <c r="J11" s="4">
        <f t="shared" si="2"/>
        <v>9.6666666666666661</v>
      </c>
      <c r="K11" s="4" t="str">
        <f t="shared" si="0"/>
        <v>Високий</v>
      </c>
      <c r="L11" s="4">
        <f t="shared" si="1"/>
        <v>5</v>
      </c>
    </row>
    <row r="12" spans="1:12" x14ac:dyDescent="0.25">
      <c r="A12" s="4">
        <v>10</v>
      </c>
      <c r="B12" s="4" t="s">
        <v>21</v>
      </c>
      <c r="C12" s="4">
        <v>7</v>
      </c>
      <c r="D12" s="4">
        <v>7</v>
      </c>
      <c r="E12" s="4">
        <v>9</v>
      </c>
      <c r="F12" s="4">
        <v>10</v>
      </c>
      <c r="G12" s="4">
        <v>8</v>
      </c>
      <c r="H12" s="4">
        <v>9</v>
      </c>
      <c r="I12" s="4"/>
      <c r="J12" s="4">
        <f t="shared" si="2"/>
        <v>8.3333333333333339</v>
      </c>
      <c r="K12" s="4" t="str">
        <f t="shared" si="0"/>
        <v>Достатній</v>
      </c>
      <c r="L12" s="4">
        <f t="shared" si="1"/>
        <v>6</v>
      </c>
    </row>
    <row r="13" spans="1:12" x14ac:dyDescent="0.25">
      <c r="A13" s="4">
        <v>11</v>
      </c>
      <c r="B13" s="4" t="s">
        <v>22</v>
      </c>
      <c r="C13" s="4">
        <v>4</v>
      </c>
      <c r="D13" s="4">
        <v>4</v>
      </c>
      <c r="E13" s="4">
        <v>6</v>
      </c>
      <c r="F13" s="4">
        <v>4</v>
      </c>
      <c r="G13" s="4">
        <v>4</v>
      </c>
      <c r="H13" s="4">
        <v>4</v>
      </c>
      <c r="I13" s="4"/>
      <c r="J13" s="4">
        <f t="shared" si="2"/>
        <v>4.333333333333333</v>
      </c>
      <c r="K13" s="4" t="str">
        <f t="shared" si="0"/>
        <v>Середній</v>
      </c>
      <c r="L13" s="4">
        <f t="shared" si="1"/>
        <v>11</v>
      </c>
    </row>
    <row r="14" spans="1:12" x14ac:dyDescent="0.25">
      <c r="A14" s="4">
        <v>12</v>
      </c>
      <c r="B14" s="4" t="s">
        <v>23</v>
      </c>
      <c r="C14" s="4">
        <v>11</v>
      </c>
      <c r="D14" s="4">
        <v>11</v>
      </c>
      <c r="E14" s="4">
        <v>10</v>
      </c>
      <c r="F14" s="4">
        <v>12</v>
      </c>
      <c r="G14" s="4">
        <v>11</v>
      </c>
      <c r="H14" s="4">
        <v>11</v>
      </c>
      <c r="I14" s="4"/>
      <c r="J14" s="4">
        <f t="shared" si="2"/>
        <v>11</v>
      </c>
      <c r="K14" s="4" t="str">
        <f t="shared" si="0"/>
        <v>Високий</v>
      </c>
      <c r="L14" s="4">
        <f t="shared" si="1"/>
        <v>3</v>
      </c>
    </row>
    <row r="15" spans="1:12" x14ac:dyDescent="0.25">
      <c r="A15" s="5"/>
      <c r="B15" s="5"/>
      <c r="C15" s="5"/>
      <c r="D15" s="5"/>
      <c r="E15" s="5"/>
      <c r="F15" s="5"/>
      <c r="G15" s="5"/>
      <c r="H15" s="6"/>
      <c r="I15" s="7"/>
    </row>
    <row r="16" spans="1:12" x14ac:dyDescent="0.25">
      <c r="A16" s="8" t="s">
        <v>24</v>
      </c>
      <c r="B16" s="8"/>
      <c r="C16" s="4">
        <f t="shared" ref="C16:H16" si="3">AVERAGE(C3:C14)</f>
        <v>7.916666666666667</v>
      </c>
      <c r="D16" s="4">
        <f t="shared" si="3"/>
        <v>7.75</v>
      </c>
      <c r="E16" s="4">
        <f t="shared" si="3"/>
        <v>8.4166666666666661</v>
      </c>
      <c r="F16" s="4">
        <f t="shared" si="3"/>
        <v>8.4166666666666661</v>
      </c>
      <c r="G16" s="4">
        <f t="shared" si="3"/>
        <v>7.75</v>
      </c>
      <c r="H16" s="4">
        <f t="shared" si="3"/>
        <v>8.4166666666666661</v>
      </c>
      <c r="I16" s="7"/>
    </row>
    <row r="17" spans="1:11" x14ac:dyDescent="0.25">
      <c r="A17" s="13" t="s">
        <v>25</v>
      </c>
      <c r="B17" s="13"/>
      <c r="C17" s="14" t="str">
        <f t="shared" ref="C17:H17" si="4">IF(C16&gt;9,"Високий",IF(C16&gt;6,"Достатній",IF(C16&gt;3,"Середній",IF(C16&lt;4,"Низький"))))</f>
        <v>Достатній</v>
      </c>
      <c r="D17" s="14" t="str">
        <f t="shared" si="4"/>
        <v>Достатній</v>
      </c>
      <c r="E17" s="14" t="str">
        <f t="shared" si="4"/>
        <v>Достатній</v>
      </c>
      <c r="F17" s="14" t="str">
        <f t="shared" si="4"/>
        <v>Достатній</v>
      </c>
      <c r="G17" s="14" t="str">
        <f t="shared" si="4"/>
        <v>Достатній</v>
      </c>
      <c r="H17" s="14" t="str">
        <f t="shared" si="4"/>
        <v>Достатній</v>
      </c>
      <c r="I17" s="7"/>
      <c r="J17" s="4" t="s">
        <v>29</v>
      </c>
      <c r="K17" s="4">
        <f>COUNTIF(K3:K14,"Низький")</f>
        <v>1</v>
      </c>
    </row>
    <row r="18" spans="1:11" x14ac:dyDescent="0.25">
      <c r="A18" s="15"/>
      <c r="B18" s="15"/>
      <c r="C18" s="15"/>
      <c r="D18" s="15"/>
      <c r="E18" s="15"/>
      <c r="F18" s="15"/>
      <c r="G18" s="15"/>
      <c r="H18" s="16"/>
      <c r="I18" s="7"/>
      <c r="J18" s="4" t="s">
        <v>26</v>
      </c>
      <c r="K18" s="4">
        <f>COUNTIF(K3:K14,"Середній")</f>
        <v>2</v>
      </c>
    </row>
    <row r="19" spans="1:11" x14ac:dyDescent="0.25">
      <c r="A19" s="17"/>
      <c r="B19" s="17"/>
      <c r="C19" s="17"/>
      <c r="D19" s="17"/>
      <c r="E19" s="17"/>
      <c r="F19" s="17"/>
      <c r="G19" s="17"/>
      <c r="H19" s="6"/>
      <c r="I19" s="7"/>
      <c r="J19" s="4" t="s">
        <v>27</v>
      </c>
      <c r="K19" s="4">
        <f>COUNTIF(K3:K14,"Достатній")</f>
        <v>4</v>
      </c>
    </row>
    <row r="20" spans="1:11" x14ac:dyDescent="0.25">
      <c r="A20" s="18"/>
      <c r="B20" s="18"/>
      <c r="C20" s="18"/>
      <c r="D20" s="18"/>
      <c r="E20" s="18"/>
      <c r="F20" s="18"/>
      <c r="G20" s="18"/>
      <c r="H20" s="19"/>
      <c r="I20" s="7"/>
      <c r="J20" s="4" t="s">
        <v>28</v>
      </c>
      <c r="K20" s="4">
        <f>COUNTIF(K3:K14,"Високий")</f>
        <v>5</v>
      </c>
    </row>
    <row r="21" spans="1:11" ht="43.2" customHeight="1" x14ac:dyDescent="0.25">
      <c r="A21" s="9" t="s">
        <v>30</v>
      </c>
      <c r="B21" s="9"/>
      <c r="C21" s="10">
        <f t="shared" ref="C21:H21" si="5">MODE(C3:C14)</f>
        <v>11</v>
      </c>
      <c r="D21" s="10">
        <f t="shared" si="5"/>
        <v>11</v>
      </c>
      <c r="E21" s="10">
        <f t="shared" si="5"/>
        <v>10</v>
      </c>
      <c r="F21" s="10">
        <f t="shared" si="5"/>
        <v>12</v>
      </c>
      <c r="G21" s="10">
        <f t="shared" si="5"/>
        <v>11</v>
      </c>
      <c r="H21" s="10">
        <f t="shared" si="5"/>
        <v>11</v>
      </c>
      <c r="I21" s="7"/>
    </row>
    <row r="22" spans="1:11" x14ac:dyDescent="0.25">
      <c r="H22" s="12"/>
      <c r="I22" s="11"/>
    </row>
    <row r="23" spans="1:11" x14ac:dyDescent="0.25">
      <c r="H23" s="12"/>
      <c r="I23" s="11"/>
    </row>
    <row r="24" spans="1:11" x14ac:dyDescent="0.25">
      <c r="H24" s="12"/>
      <c r="I24" s="11"/>
    </row>
    <row r="25" spans="1:11" x14ac:dyDescent="0.25">
      <c r="H25" s="12"/>
      <c r="I25" s="11"/>
    </row>
    <row r="26" spans="1:11" x14ac:dyDescent="0.25">
      <c r="H26" s="12"/>
      <c r="I26" s="11"/>
    </row>
  </sheetData>
  <mergeCells count="8">
    <mergeCell ref="A18:H20"/>
    <mergeCell ref="A21:B21"/>
    <mergeCell ref="C1:L1"/>
    <mergeCell ref="A1:A2"/>
    <mergeCell ref="B1:B2"/>
    <mergeCell ref="A16:B16"/>
    <mergeCell ref="A17:B17"/>
    <mergeCell ref="A15:H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ostap kozak</dc:creator>
  <cp:lastModifiedBy>Yurii Ostashevskyi</cp:lastModifiedBy>
  <dcterms:created xsi:type="dcterms:W3CDTF">2021-05-09T09:31:54Z</dcterms:created>
  <dcterms:modified xsi:type="dcterms:W3CDTF">2021-05-13T15:50:20Z</dcterms:modified>
</cp:coreProperties>
</file>